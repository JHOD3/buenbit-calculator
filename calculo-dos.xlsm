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calculadorabb.local\"/>
    </mc:Choice>
  </mc:AlternateContent>
  <bookViews>
    <workbookView xWindow="0" yWindow="0" windowWidth="21600" windowHeight="9735" activeTab="4"/>
  </bookViews>
  <sheets>
    <sheet name="Modelo" sheetId="1" r:id="rId1"/>
    <sheet name="Render" sheetId="2" r:id="rId2"/>
    <sheet name="Render v2.0" sheetId="3" r:id="rId3"/>
    <sheet name="Sheet4" sheetId="4" r:id="rId4"/>
    <sheet name="Manuel - Modelo Frances" sheetId="6" r:id="rId5"/>
    <sheet name="Manuel -Modelo Frances Cashflow" sheetId="9" r:id="rId6"/>
    <sheet name="notas impuestos" sheetId="8" r:id="rId7"/>
  </sheets>
  <definedNames>
    <definedName name="solver_adj" localSheetId="4" hidden="1">'Manuel - Modelo Frances'!$B$25</definedName>
    <definedName name="solver_adj" localSheetId="5" hidden="1">'Manuel -Modelo Frances Cashflow'!#REF!</definedName>
    <definedName name="solver_cvg" localSheetId="4" hidden="1">0.0001</definedName>
    <definedName name="solver_cvg" localSheetId="5" hidden="1">0.0001</definedName>
    <definedName name="solver_drv" localSheetId="4" hidden="1">1</definedName>
    <definedName name="solver_drv" localSheetId="5" hidden="1">1</definedName>
    <definedName name="solver_eng" localSheetId="4" hidden="1">1</definedName>
    <definedName name="solver_eng" localSheetId="5" hidden="1">1</definedName>
    <definedName name="solver_est" localSheetId="4" hidden="1">1</definedName>
    <definedName name="solver_est" localSheetId="5" hidden="1">1</definedName>
    <definedName name="solver_itr" localSheetId="4" hidden="1">100</definedName>
    <definedName name="solver_itr" localSheetId="5" hidden="1">2147483647</definedName>
    <definedName name="solver_lin" localSheetId="4" hidden="1">1</definedName>
    <definedName name="solver_mip" localSheetId="4" hidden="1">2147483647</definedName>
    <definedName name="solver_mip" localSheetId="5" hidden="1">2147483647</definedName>
    <definedName name="solver_mni" localSheetId="4" hidden="1">30</definedName>
    <definedName name="solver_mni" localSheetId="5" hidden="1">30</definedName>
    <definedName name="solver_mrt" localSheetId="4" hidden="1">0.075</definedName>
    <definedName name="solver_mrt" localSheetId="5" hidden="1">0.075</definedName>
    <definedName name="solver_msl" localSheetId="4" hidden="1">2</definedName>
    <definedName name="solver_msl" localSheetId="5" hidden="1">2</definedName>
    <definedName name="solver_neg" localSheetId="4" hidden="1">2</definedName>
    <definedName name="solver_neg" localSheetId="5" hidden="1">1</definedName>
    <definedName name="solver_nod" localSheetId="4" hidden="1">2147483647</definedName>
    <definedName name="solver_nod" localSheetId="5" hidden="1">2147483647</definedName>
    <definedName name="solver_num" localSheetId="4" hidden="1">0</definedName>
    <definedName name="solver_num" localSheetId="5" hidden="1">0</definedName>
    <definedName name="solver_nwt" localSheetId="4" hidden="1">1</definedName>
    <definedName name="solver_nwt" localSheetId="5" hidden="1">1</definedName>
    <definedName name="solver_opt" localSheetId="4" hidden="1">'Manuel - Modelo Frances'!$B$51</definedName>
    <definedName name="solver_opt" localSheetId="5" hidden="1">'Manuel -Modelo Frances Cashflow'!#REF!</definedName>
    <definedName name="solver_pre" localSheetId="4" hidden="1">0.000001</definedName>
    <definedName name="solver_pre" localSheetId="5" hidden="1">0.000001</definedName>
    <definedName name="solver_rbv" localSheetId="4" hidden="1">1</definedName>
    <definedName name="solver_rbv" localSheetId="5" hidden="1">1</definedName>
    <definedName name="solver_rlx" localSheetId="4" hidden="1">2</definedName>
    <definedName name="solver_rlx" localSheetId="5" hidden="1">2</definedName>
    <definedName name="solver_rsd" localSheetId="4" hidden="1">0</definedName>
    <definedName name="solver_rsd" localSheetId="5" hidden="1">0</definedName>
    <definedName name="solver_scl" localSheetId="4" hidden="1">0</definedName>
    <definedName name="solver_scl" localSheetId="5" hidden="1">1</definedName>
    <definedName name="solver_sho" localSheetId="4" hidden="1">2</definedName>
    <definedName name="solver_sho" localSheetId="5" hidden="1">2</definedName>
    <definedName name="solver_ssz" localSheetId="4" hidden="1">100</definedName>
    <definedName name="solver_ssz" localSheetId="5" hidden="1">100</definedName>
    <definedName name="solver_tim" localSheetId="4" hidden="1">100</definedName>
    <definedName name="solver_tim" localSheetId="5" hidden="1">2147483647</definedName>
    <definedName name="solver_tol" localSheetId="4" hidden="1">0.05</definedName>
    <definedName name="solver_tol" localSheetId="5" hidden="1">0.01</definedName>
    <definedName name="solver_typ" localSheetId="4" hidden="1">3</definedName>
    <definedName name="solver_typ" localSheetId="5" hidden="1">3</definedName>
    <definedName name="solver_val" localSheetId="4" hidden="1">0</definedName>
    <definedName name="solver_val" localSheetId="5" hidden="1">0</definedName>
    <definedName name="solver_ver" localSheetId="4" hidden="1">3</definedName>
    <definedName name="solver_ver" localSheetId="5" hidden="1">3</definedName>
  </definedNames>
  <calcPr calcId="152511"/>
  <extLst>
    <ext uri="GoogleSheetsCustomDataVersion1">
      <go:sheetsCustomData xmlns:go="http://customooxmlschemas.google.com/" r:id="rId8" roundtripDataSignature="AMtx7mjATclDhG6O3Hr1ZYQL/SrjzBVeBw=="/>
    </ext>
  </extLst>
</workbook>
</file>

<file path=xl/calcChain.xml><?xml version="1.0" encoding="utf-8"?>
<calcChain xmlns="http://schemas.openxmlformats.org/spreadsheetml/2006/main">
  <c r="B20" i="6" l="1"/>
  <c r="F14" i="6" l="1"/>
  <c r="G14" i="6"/>
  <c r="H14" i="6"/>
  <c r="I14" i="6"/>
  <c r="J14" i="6"/>
  <c r="K14" i="6"/>
  <c r="L14" i="6"/>
  <c r="M14" i="6"/>
  <c r="N14" i="6"/>
  <c r="B23" i="6"/>
  <c r="B10" i="1" l="1"/>
  <c r="B25" i="1"/>
  <c r="B47" i="6"/>
  <c r="B53" i="6" s="1"/>
  <c r="B46" i="6"/>
  <c r="B45" i="6"/>
  <c r="B41" i="6"/>
  <c r="B49" i="6" s="1"/>
  <c r="B31" i="1"/>
  <c r="B27" i="1"/>
  <c r="B24" i="1"/>
  <c r="B16" i="1"/>
  <c r="J15" i="3"/>
  <c r="B10" i="6"/>
  <c r="B8" i="6"/>
  <c r="C14" i="6" l="1"/>
  <c r="B21" i="6" s="1"/>
  <c r="C12" i="6"/>
  <c r="C13" i="6" s="1"/>
  <c r="B42" i="6"/>
  <c r="B50" i="6" s="1"/>
  <c r="B19" i="1"/>
  <c r="B23" i="1" s="1"/>
  <c r="B14" i="1"/>
  <c r="B13" i="1"/>
  <c r="B11" i="1" s="1"/>
  <c r="C11" i="6" l="1"/>
  <c r="B17" i="1"/>
  <c r="B26" i="1" s="1"/>
  <c r="D27" i="1" s="1"/>
  <c r="C15" i="6" l="1"/>
  <c r="C10" i="6"/>
  <c r="D14" i="6" s="1"/>
  <c r="B29" i="1"/>
  <c r="L8" i="3" s="1"/>
  <c r="L11" i="3" s="1"/>
  <c r="L8" i="2"/>
  <c r="L11" i="2" s="1"/>
  <c r="B30" i="1"/>
  <c r="D12" i="6" l="1"/>
  <c r="D13" i="6" s="1"/>
  <c r="D11" i="6"/>
  <c r="B32" i="1"/>
  <c r="L5" i="2"/>
  <c r="L5" i="3"/>
  <c r="D15" i="6" l="1"/>
  <c r="D10" i="6"/>
  <c r="E12" i="6" l="1"/>
  <c r="E13" i="6" s="1"/>
  <c r="E14" i="6"/>
  <c r="E11" i="6" s="1"/>
  <c r="E10" i="6" l="1"/>
  <c r="E15" i="6"/>
  <c r="F12" i="6"/>
  <c r="F13" i="6" s="1"/>
  <c r="F11" i="6" l="1"/>
  <c r="F10" i="6" l="1"/>
  <c r="F15" i="6"/>
  <c r="G12" i="6"/>
  <c r="G13" i="6" s="1"/>
  <c r="G11" i="6" l="1"/>
  <c r="G10" i="6" l="1"/>
  <c r="H12" i="6" s="1"/>
  <c r="H13" i="6" s="1"/>
  <c r="G15" i="6"/>
  <c r="H11" i="6" l="1"/>
  <c r="H15" i="6" s="1"/>
  <c r="H10" i="6" l="1"/>
  <c r="I12" i="6" s="1"/>
  <c r="I11" i="6" l="1"/>
  <c r="I13" i="6"/>
  <c r="I10" i="6"/>
  <c r="I15" i="6" l="1"/>
  <c r="J12" i="6"/>
  <c r="J11" i="6" l="1"/>
  <c r="J13" i="6"/>
  <c r="J10" i="6" l="1"/>
  <c r="K12" i="6" s="1"/>
  <c r="J15" i="6"/>
  <c r="K13" i="6" l="1"/>
  <c r="K11" i="6"/>
  <c r="B16" i="6"/>
  <c r="B48" i="6" s="1"/>
  <c r="B51" i="6" s="1"/>
  <c r="B22" i="6"/>
  <c r="K10" i="6" l="1"/>
  <c r="L12" i="6" s="1"/>
  <c r="K15" i="6"/>
  <c r="L13" i="6" l="1"/>
  <c r="L11" i="6"/>
  <c r="L10" i="6" l="1"/>
  <c r="M12" i="6" s="1"/>
  <c r="L15" i="6"/>
  <c r="B17" i="6" s="1"/>
  <c r="M13" i="6" l="1"/>
  <c r="M11" i="6"/>
  <c r="M10" i="6" l="1"/>
  <c r="N12" i="6" s="1"/>
  <c r="M15" i="6"/>
  <c r="N13" i="6" l="1"/>
  <c r="B24" i="6" s="1"/>
  <c r="N11" i="6"/>
  <c r="N10" i="6" l="1"/>
  <c r="N15" i="6"/>
</calcChain>
</file>

<file path=xl/sharedStrings.xml><?xml version="1.0" encoding="utf-8"?>
<sst xmlns="http://schemas.openxmlformats.org/spreadsheetml/2006/main" count="130" uniqueCount="96">
  <si>
    <t>tasa en DAI</t>
  </si>
  <si>
    <t>tasa tomadora en ARS</t>
  </si>
  <si>
    <t>Caución</t>
  </si>
  <si>
    <t>Aforo títulos</t>
  </si>
  <si>
    <t>tasa de mercado en ARS</t>
  </si>
  <si>
    <t>tasa de futuros USDARS</t>
  </si>
  <si>
    <t>spread de futuros canje</t>
  </si>
  <si>
    <t>Ganancia de tasa Buenbit</t>
  </si>
  <si>
    <t>USDARS</t>
  </si>
  <si>
    <t>Factor de préstamo</t>
  </si>
  <si>
    <t>Max prestamo</t>
  </si>
  <si>
    <t>Cliente</t>
  </si>
  <si>
    <t>Deja</t>
  </si>
  <si>
    <t>DAI</t>
  </si>
  <si>
    <t>Retira</t>
  </si>
  <si>
    <t>ARS</t>
  </si>
  <si>
    <t>Monto a dejar en caucion</t>
  </si>
  <si>
    <t>Monto a invertir</t>
  </si>
  <si>
    <t>Plazo préstamo</t>
  </si>
  <si>
    <t>mes</t>
  </si>
  <si>
    <t>Saldos finales</t>
  </si>
  <si>
    <t>Tasa Buenbit</t>
  </si>
  <si>
    <t>Recompra DAI</t>
  </si>
  <si>
    <t>Inversiones DAI</t>
  </si>
  <si>
    <t>Diferencia DAI</t>
  </si>
  <si>
    <t>Diferencial a cobrar pesos cliente</t>
  </si>
  <si>
    <t>Tasa a cobrar pesos cliente</t>
  </si>
  <si>
    <t>Ganancia Buenbit</t>
  </si>
  <si>
    <t>Ganancia tasa Buenbit</t>
  </si>
  <si>
    <t>Calculá tu crédito</t>
  </si>
  <si>
    <t>Ingresá la cantidad de DAI que dejás en garantía</t>
  </si>
  <si>
    <t>El interés que vas a pagar es de:</t>
  </si>
  <si>
    <t>Ingresá el monto en ARS que querés pedir prestado</t>
  </si>
  <si>
    <t xml:space="preserve">Lo devolvés en cuotas de: </t>
  </si>
  <si>
    <t>Ingresá en cuántos meses lo devolvés</t>
  </si>
  <si>
    <t>Monto total que vas a pagar:</t>
  </si>
  <si>
    <t>LTV (Valor del préstamo sobre la garantía)</t>
  </si>
  <si>
    <t>DAI a dejar en garantía</t>
  </si>
  <si>
    <t>Nivel de colateralización</t>
  </si>
  <si>
    <t>Cuotas</t>
  </si>
  <si>
    <t>titulo</t>
  </si>
  <si>
    <t>datos</t>
  </si>
  <si>
    <t>tasa mensual</t>
  </si>
  <si>
    <t>deuda</t>
  </si>
  <si>
    <t>intereses</t>
  </si>
  <si>
    <t>cuota total</t>
  </si>
  <si>
    <t>periodo</t>
  </si>
  <si>
    <t>amortizacion</t>
  </si>
  <si>
    <t>Monto prestamo en ARS</t>
  </si>
  <si>
    <t>Cantidad cuotas mensuales</t>
  </si>
  <si>
    <t>Render outputs</t>
  </si>
  <si>
    <t>Render inputs</t>
  </si>
  <si>
    <t>(de 1 a 12)</t>
  </si>
  <si>
    <t>Garantia DAIs</t>
  </si>
  <si>
    <t>Interes a pagar (TNA)</t>
  </si>
  <si>
    <t>Parametros del Mercado</t>
  </si>
  <si>
    <t>Parametros de Politica</t>
  </si>
  <si>
    <t>USD/ARS spot</t>
  </si>
  <si>
    <t>tasa de futuros USD/ARS</t>
  </si>
  <si>
    <t>Calculo Ganancia</t>
  </si>
  <si>
    <t>Monto a invertir (DAIs)</t>
  </si>
  <si>
    <t>Pagos Sistema Frances</t>
  </si>
  <si>
    <t>(&gt;=0)</t>
  </si>
  <si>
    <t>Monto a dejar en caución (DAIs)</t>
  </si>
  <si>
    <t>(Se optimiza en funcion de los parametros elegidos por el cliente y los parametros de mercado de forma que la ganancia para buenbit sea el target (10%))</t>
  </si>
  <si>
    <t>tasa tomadora en ARS (tasa caucion)</t>
  </si>
  <si>
    <t>Impacto usuario (ver documento Ivana)</t>
  </si>
  <si>
    <t xml:space="preserve">Impacto Buenbit: </t>
  </si>
  <si>
    <t>IIBB dependiendo de la jurisdiccion del tomador</t>
  </si>
  <si>
    <t>Hay que recargar IVA a la parte de intereses de la cuota, 21%</t>
  </si>
  <si>
    <t>Debitos y Creditos por las transferecnias de los pagos de caucion</t>
  </si>
  <si>
    <t xml:space="preserve">Ganancias </t>
  </si>
  <si>
    <t>Caución (pago intereses)</t>
  </si>
  <si>
    <t>Caucion (pago capital)</t>
  </si>
  <si>
    <t>Costo Recompra DAI</t>
  </si>
  <si>
    <t>Buenbit (intereses recibidos por prestamo)</t>
  </si>
  <si>
    <t>Pago total prestamo</t>
  </si>
  <si>
    <t>Diferencia (el objetivo es que ajuste el LTV para que esta diferencia sea 0)</t>
  </si>
  <si>
    <t>Factor del prestamo (LTV: ratio prestamo/garantia)</t>
  </si>
  <si>
    <t>IVA sobre pago de intereses</t>
  </si>
  <si>
    <t>intereses con IVA</t>
  </si>
  <si>
    <t>Total a pagar</t>
  </si>
  <si>
    <t>Tota a pagar con IVA</t>
  </si>
  <si>
    <t>Cuota en ARS (IVA incluido)</t>
  </si>
  <si>
    <t>Total a pagar en ARS (IVA incluido)</t>
  </si>
  <si>
    <r>
      <t xml:space="preserve">cuota total con IVA </t>
    </r>
    <r>
      <rPr>
        <sz val="10"/>
        <color rgb="FFFF0000"/>
        <rFont val="Arial"/>
        <family val="2"/>
      </rPr>
      <t>(con IVA las cuotas no quedan todas iguales)</t>
    </r>
  </si>
  <si>
    <t>(Completar costo financiero total. No usar la cuota con iva para el calculo de garantia porque buenbit descarga el IVA)</t>
  </si>
  <si>
    <t>CFT (Costo Financiero Total)</t>
  </si>
  <si>
    <t>CFT (Costo Financiero Total) con IVA</t>
  </si>
  <si>
    <t>(Importante: si se cambian celdas de lugar hay que actualizar la macro del solver)</t>
  </si>
  <si>
    <t>Buenbit intereses ganados por prestamo</t>
  </si>
  <si>
    <t>Intereses recibidos por inversion en garantia</t>
  </si>
  <si>
    <t>Incluir tasa futura USD/ARS</t>
  </si>
  <si>
    <t>Estos intereses ganados se usan cubrir los costos del credito, minimizando el requerimiento de garantia</t>
  </si>
  <si>
    <t>Descripcion</t>
  </si>
  <si>
    <t>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</si>
</sst>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&quot;$&quot;#,##0.00"/>
    <numFmt numFmtId="166" formatCode="_([$$-409]* #,##0.00_);_([$$-409]* \(#,##0.00\);_([$$-409]* &quot;-&quot;??_);_(@_)"/>
    <numFmt numFmtId="167" formatCode="_([$$-409]* #,##0_);_([$$-409]* \(#,##0\);_([$$-409]* &quot;-&quot;??_);_(@_)"/>
    <numFmt numFmtId="168" formatCode="0.0%"/>
    <numFmt numFmtId="169" formatCode="&quot;$&quot;#,##0"/>
  </numFmts>
  <fonts count="11">
    <font>
      <sz val="10"/>
      <color rgb="FF000000"/>
      <name val="Arial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Montserrat"/>
    </font>
    <font>
      <b/>
      <sz val="18"/>
      <color rgb="FFFFFFFF"/>
      <name val="Montserrat"/>
    </font>
    <font>
      <b/>
      <sz val="9"/>
      <color rgb="FFFFFFFF"/>
      <name val="Montserrat"/>
    </font>
    <font>
      <b/>
      <sz val="10"/>
      <color rgb="FF000000"/>
      <name val="Montserrat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rgb="FFFFFFFF"/>
      </patternFill>
    </fill>
    <fill>
      <patternFill patternType="solid">
        <fgColor rgb="FFB7B7B7"/>
        <bgColor rgb="FFB7B7B7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95">
    <xf numFmtId="0" fontId="0" fillId="0" borderId="0" xfId="0" applyFont="1" applyAlignment="1"/>
    <xf numFmtId="0" fontId="1" fillId="0" borderId="0" xfId="0" applyFont="1"/>
    <xf numFmtId="9" fontId="1" fillId="0" borderId="0" xfId="0" applyNumberFormat="1" applyFont="1"/>
    <xf numFmtId="10" fontId="1" fillId="0" borderId="0" xfId="0" applyNumberFormat="1" applyFont="1"/>
    <xf numFmtId="0" fontId="2" fillId="0" borderId="0" xfId="0" applyFont="1"/>
    <xf numFmtId="9" fontId="2" fillId="0" borderId="0" xfId="0" applyNumberFormat="1" applyFont="1"/>
    <xf numFmtId="165" fontId="1" fillId="0" borderId="0" xfId="0" applyNumberFormat="1" applyFont="1"/>
    <xf numFmtId="2" fontId="1" fillId="0" borderId="0" xfId="0" applyNumberFormat="1" applyFont="1"/>
    <xf numFmtId="10" fontId="2" fillId="0" borderId="0" xfId="0" applyNumberFormat="1" applyFont="1"/>
    <xf numFmtId="165" fontId="2" fillId="0" borderId="0" xfId="0" applyNumberFormat="1" applyFont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0" fillId="0" borderId="0" xfId="0" applyFont="1" applyAlignment="1"/>
    <xf numFmtId="0" fontId="8" fillId="0" borderId="0" xfId="0" applyFont="1" applyAlignment="1"/>
    <xf numFmtId="0" fontId="0" fillId="0" borderId="0" xfId="0" applyFont="1" applyFill="1" applyAlignment="1"/>
    <xf numFmtId="165" fontId="1" fillId="0" borderId="0" xfId="0" applyNumberFormat="1" applyFont="1" applyFill="1"/>
    <xf numFmtId="0" fontId="1" fillId="0" borderId="0" xfId="0" applyFont="1" applyFill="1"/>
    <xf numFmtId="0" fontId="8" fillId="0" borderId="0" xfId="0" applyFont="1" applyFill="1" applyAlignment="1"/>
    <xf numFmtId="0" fontId="0" fillId="9" borderId="0" xfId="0" applyFont="1" applyFill="1" applyBorder="1" applyAlignment="1"/>
    <xf numFmtId="0" fontId="8" fillId="9" borderId="0" xfId="0" applyFont="1" applyFill="1" applyBorder="1" applyAlignment="1"/>
    <xf numFmtId="9" fontId="0" fillId="9" borderId="0" xfId="0" applyNumberFormat="1" applyFont="1" applyFill="1" applyBorder="1" applyAlignment="1"/>
    <xf numFmtId="166" fontId="0" fillId="9" borderId="0" xfId="0" applyNumberFormat="1" applyFont="1" applyFill="1" applyBorder="1" applyAlignment="1"/>
    <xf numFmtId="0" fontId="1" fillId="9" borderId="0" xfId="0" applyFont="1" applyFill="1" applyBorder="1"/>
    <xf numFmtId="0" fontId="2" fillId="9" borderId="0" xfId="0" applyFont="1" applyFill="1" applyBorder="1"/>
    <xf numFmtId="164" fontId="0" fillId="9" borderId="0" xfId="0" applyNumberFormat="1" applyFont="1" applyFill="1" applyBorder="1" applyAlignment="1"/>
    <xf numFmtId="165" fontId="1" fillId="9" borderId="0" xfId="0" applyNumberFormat="1" applyFont="1" applyFill="1" applyBorder="1"/>
    <xf numFmtId="10" fontId="2" fillId="9" borderId="0" xfId="0" applyNumberFormat="1" applyFont="1" applyFill="1" applyBorder="1"/>
    <xf numFmtId="165" fontId="2" fillId="9" borderId="0" xfId="0" applyNumberFormat="1" applyFont="1" applyFill="1" applyBorder="1"/>
    <xf numFmtId="0" fontId="8" fillId="8" borderId="11" xfId="0" applyFont="1" applyFill="1" applyBorder="1" applyAlignment="1"/>
    <xf numFmtId="164" fontId="0" fillId="8" borderId="11" xfId="1" applyNumberFormat="1" applyFont="1" applyFill="1" applyBorder="1" applyAlignment="1"/>
    <xf numFmtId="0" fontId="0" fillId="8" borderId="11" xfId="0" applyFont="1" applyFill="1" applyBorder="1" applyAlignment="1">
      <alignment horizontal="center"/>
    </xf>
    <xf numFmtId="0" fontId="8" fillId="7" borderId="11" xfId="0" applyFont="1" applyFill="1" applyBorder="1" applyAlignment="1"/>
    <xf numFmtId="0" fontId="0" fillId="7" borderId="11" xfId="0" applyFont="1" applyFill="1" applyBorder="1" applyAlignment="1"/>
    <xf numFmtId="167" fontId="0" fillId="7" borderId="11" xfId="0" applyNumberFormat="1" applyFont="1" applyFill="1" applyBorder="1" applyAlignment="1"/>
    <xf numFmtId="166" fontId="0" fillId="7" borderId="11" xfId="0" applyNumberFormat="1" applyFont="1" applyFill="1" applyBorder="1" applyAlignment="1"/>
    <xf numFmtId="0" fontId="8" fillId="7" borderId="15" xfId="0" applyFont="1" applyFill="1" applyBorder="1" applyAlignment="1"/>
    <xf numFmtId="0" fontId="9" fillId="7" borderId="11" xfId="0" applyFont="1" applyFill="1" applyBorder="1" applyAlignment="1"/>
    <xf numFmtId="0" fontId="0" fillId="7" borderId="11" xfId="0" applyFont="1" applyFill="1" applyBorder="1" applyAlignment="1">
      <alignment horizontal="center"/>
    </xf>
    <xf numFmtId="168" fontId="0" fillId="7" borderId="15" xfId="2" applyNumberFormat="1" applyFont="1" applyFill="1" applyBorder="1" applyAlignment="1">
      <alignment horizontal="center"/>
    </xf>
    <xf numFmtId="9" fontId="0" fillId="8" borderId="11" xfId="0" applyNumberFormat="1" applyFont="1" applyFill="1" applyBorder="1" applyAlignment="1">
      <alignment horizontal="center"/>
    </xf>
    <xf numFmtId="0" fontId="0" fillId="12" borderId="11" xfId="0" applyFont="1" applyFill="1" applyBorder="1" applyAlignment="1"/>
    <xf numFmtId="0" fontId="8" fillId="12" borderId="11" xfId="0" applyFont="1" applyFill="1" applyBorder="1" applyAlignment="1"/>
    <xf numFmtId="166" fontId="0" fillId="12" borderId="11" xfId="1" applyNumberFormat="1" applyFont="1" applyFill="1" applyBorder="1" applyAlignment="1"/>
    <xf numFmtId="0" fontId="8" fillId="10" borderId="11" xfId="0" applyFont="1" applyFill="1" applyBorder="1" applyAlignment="1"/>
    <xf numFmtId="0" fontId="1" fillId="11" borderId="11" xfId="0" applyFont="1" applyFill="1" applyBorder="1"/>
    <xf numFmtId="0" fontId="1" fillId="6" borderId="11" xfId="0" applyFont="1" applyFill="1" applyBorder="1"/>
    <xf numFmtId="9" fontId="1" fillId="6" borderId="11" xfId="0" applyNumberFormat="1" applyFont="1" applyFill="1" applyBorder="1"/>
    <xf numFmtId="0" fontId="10" fillId="9" borderId="0" xfId="0" applyFont="1" applyFill="1" applyBorder="1" applyAlignment="1"/>
    <xf numFmtId="0" fontId="1" fillId="7" borderId="11" xfId="0" applyFont="1" applyFill="1" applyBorder="1"/>
    <xf numFmtId="164" fontId="0" fillId="7" borderId="11" xfId="1" applyFont="1" applyFill="1" applyBorder="1" applyAlignment="1"/>
    <xf numFmtId="164" fontId="0" fillId="7" borderId="11" xfId="0" applyNumberFormat="1" applyFont="1" applyFill="1" applyBorder="1" applyAlignment="1"/>
    <xf numFmtId="0" fontId="1" fillId="10" borderId="11" xfId="0" applyFont="1" applyFill="1" applyBorder="1"/>
    <xf numFmtId="165" fontId="1" fillId="10" borderId="11" xfId="0" applyNumberFormat="1" applyFont="1" applyFill="1" applyBorder="1"/>
    <xf numFmtId="0" fontId="8" fillId="11" borderId="11" xfId="0" applyFont="1" applyFill="1" applyBorder="1" applyAlignment="1"/>
    <xf numFmtId="165" fontId="0" fillId="11" borderId="11" xfId="0" applyNumberFormat="1" applyFont="1" applyFill="1" applyBorder="1" applyAlignment="1"/>
    <xf numFmtId="169" fontId="1" fillId="10" borderId="11" xfId="0" applyNumberFormat="1" applyFont="1" applyFill="1" applyBorder="1"/>
    <xf numFmtId="9" fontId="1" fillId="11" borderId="11" xfId="0" applyNumberFormat="1" applyFont="1" applyFill="1" applyBorder="1" applyAlignment="1">
      <alignment horizontal="center"/>
    </xf>
    <xf numFmtId="10" fontId="1" fillId="11" borderId="11" xfId="0" applyNumberFormat="1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9" fontId="8" fillId="11" borderId="11" xfId="0" applyNumberFormat="1" applyFont="1" applyFill="1" applyBorder="1" applyAlignment="1">
      <alignment horizontal="center"/>
    </xf>
    <xf numFmtId="10" fontId="0" fillId="12" borderId="11" xfId="2" applyNumberFormat="1" applyFont="1" applyFill="1" applyBorder="1" applyAlignment="1"/>
    <xf numFmtId="0" fontId="1" fillId="10" borderId="11" xfId="0" applyFont="1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12" borderId="11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10" fontId="0" fillId="10" borderId="11" xfId="0" applyNumberFormat="1" applyFont="1" applyFill="1" applyBorder="1" applyAlignment="1"/>
    <xf numFmtId="165" fontId="6" fillId="4" borderId="1" xfId="0" applyNumberFormat="1" applyFont="1" applyFill="1" applyBorder="1" applyAlignment="1">
      <alignment horizontal="center" vertical="center"/>
    </xf>
    <xf numFmtId="0" fontId="7" fillId="0" borderId="2" xfId="0" applyFont="1" applyBorder="1"/>
    <xf numFmtId="0" fontId="5" fillId="3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10" fontId="6" fillId="4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Font="1" applyAlignment="1"/>
    <xf numFmtId="165" fontId="6" fillId="5" borderId="1" xfId="0" applyNumberFormat="1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7" fillId="0" borderId="4" xfId="0" applyFont="1" applyBorder="1"/>
    <xf numFmtId="0" fontId="7" fillId="0" borderId="7" xfId="0" applyFont="1" applyBorder="1"/>
    <xf numFmtId="0" fontId="7" fillId="0" borderId="8" xfId="0" applyFont="1" applyBorder="1"/>
    <xf numFmtId="165" fontId="6" fillId="4" borderId="5" xfId="0" applyNumberFormat="1" applyFont="1" applyFill="1" applyBorder="1" applyAlignment="1">
      <alignment horizontal="center" vertical="center"/>
    </xf>
    <xf numFmtId="0" fontId="7" fillId="0" borderId="6" xfId="0" applyFont="1" applyBorder="1"/>
    <xf numFmtId="0" fontId="7" fillId="0" borderId="9" xfId="0" applyFont="1" applyBorder="1"/>
    <xf numFmtId="0" fontId="7" fillId="0" borderId="10" xfId="0" applyFont="1" applyBorder="1"/>
    <xf numFmtId="10" fontId="6" fillId="5" borderId="1" xfId="0" applyNumberFormat="1" applyFont="1" applyFill="1" applyBorder="1" applyAlignment="1">
      <alignment horizontal="center" vertical="center"/>
    </xf>
    <xf numFmtId="0" fontId="2" fillId="10" borderId="12" xfId="0" applyFont="1" applyFill="1" applyBorder="1" applyAlignment="1">
      <alignment horizontal="center"/>
    </xf>
    <xf numFmtId="0" fontId="2" fillId="10" borderId="13" xfId="0" applyFont="1" applyFill="1" applyBorder="1" applyAlignment="1">
      <alignment horizontal="center"/>
    </xf>
    <xf numFmtId="0" fontId="2" fillId="10" borderId="14" xfId="0" applyFont="1" applyFill="1" applyBorder="1" applyAlignment="1">
      <alignment horizontal="center"/>
    </xf>
    <xf numFmtId="0" fontId="9" fillId="8" borderId="12" xfId="0" applyFont="1" applyFill="1" applyBorder="1" applyAlignment="1">
      <alignment horizontal="center"/>
    </xf>
    <xf numFmtId="0" fontId="9" fillId="8" borderId="13" xfId="0" applyFont="1" applyFill="1" applyBorder="1" applyAlignment="1">
      <alignment horizontal="center"/>
    </xf>
    <xf numFmtId="0" fontId="9" fillId="8" borderId="14" xfId="0" applyFont="1" applyFill="1" applyBorder="1" applyAlignment="1">
      <alignment horizontal="center"/>
    </xf>
    <xf numFmtId="0" fontId="9" fillId="12" borderId="11" xfId="0" applyFont="1" applyFill="1" applyBorder="1" applyAlignment="1">
      <alignment horizontal="center"/>
    </xf>
    <xf numFmtId="0" fontId="9" fillId="11" borderId="11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923925</xdr:colOff>
      <xdr:row>2</xdr:row>
      <xdr:rowOff>-47625</xdr:rowOff>
    </xdr:from>
    <xdr:ext cx="4086225" cy="4086225"/>
    <xdr:pic>
      <xdr:nvPicPr>
        <xdr:cNvPr id="2" name="image2.png" title="Image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10</xdr:col>
      <xdr:colOff>1628775</xdr:colOff>
      <xdr:row>1</xdr:row>
      <xdr:rowOff>9525</xdr:rowOff>
    </xdr:from>
    <xdr:ext cx="1476375" cy="495300"/>
    <xdr:pic>
      <xdr:nvPicPr>
        <xdr:cNvPr id="3" name="image1.png" title="Image"/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923925</xdr:colOff>
      <xdr:row>2</xdr:row>
      <xdr:rowOff>-47625</xdr:rowOff>
    </xdr:from>
    <xdr:ext cx="4086225" cy="4086225"/>
    <xdr:pic>
      <xdr:nvPicPr>
        <xdr:cNvPr id="2" name="image2.png" title="Image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10</xdr:col>
      <xdr:colOff>1628775</xdr:colOff>
      <xdr:row>1</xdr:row>
      <xdr:rowOff>9525</xdr:rowOff>
    </xdr:from>
    <xdr:ext cx="1476375" cy="495300"/>
    <xdr:pic>
      <xdr:nvPicPr>
        <xdr:cNvPr id="3" name="image1.png" title="Image"/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</xdr:row>
          <xdr:rowOff>0</xdr:rowOff>
        </xdr:from>
        <xdr:to>
          <xdr:col>4</xdr:col>
          <xdr:colOff>409575</xdr:colOff>
          <xdr:row>4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Resolver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outlinePr summaryBelow="0" summaryRight="0"/>
  </sheetPr>
  <dimension ref="A1:E1001"/>
  <sheetViews>
    <sheetView topLeftCell="A13" zoomScale="150" zoomScaleNormal="150" workbookViewId="0">
      <selection activeCell="D27" sqref="D27"/>
    </sheetView>
  </sheetViews>
  <sheetFormatPr baseColWidth="10" defaultColWidth="14.42578125" defaultRowHeight="15" customHeight="1"/>
  <cols>
    <col min="1" max="1" width="29.28515625" customWidth="1"/>
    <col min="2" max="2" width="27.7109375" customWidth="1"/>
    <col min="3" max="6" width="14.42578125" customWidth="1"/>
  </cols>
  <sheetData>
    <row r="1" spans="1:3" ht="15" customHeight="1">
      <c r="A1" t="s">
        <v>40</v>
      </c>
      <c r="B1" t="s">
        <v>41</v>
      </c>
    </row>
    <row r="2" spans="1:3" ht="15.75" customHeight="1">
      <c r="A2" s="1" t="s">
        <v>0</v>
      </c>
      <c r="B2" s="2">
        <v>0.18</v>
      </c>
    </row>
    <row r="3" spans="1:3" ht="15.75" customHeight="1">
      <c r="A3" s="1" t="s">
        <v>1</v>
      </c>
      <c r="B3" s="2">
        <v>0.32</v>
      </c>
      <c r="C3" s="1" t="s">
        <v>2</v>
      </c>
    </row>
    <row r="4" spans="1:3" ht="15.75" customHeight="1">
      <c r="A4" s="1" t="s">
        <v>3</v>
      </c>
      <c r="B4" s="2">
        <v>0.9</v>
      </c>
    </row>
    <row r="5" spans="1:3" ht="15.75" customHeight="1">
      <c r="A5" s="1" t="s">
        <v>4</v>
      </c>
      <c r="B5" s="2">
        <v>0.7</v>
      </c>
    </row>
    <row r="6" spans="1:3" ht="15.75" customHeight="1">
      <c r="A6" s="1" t="s">
        <v>5</v>
      </c>
      <c r="B6" s="2">
        <v>0.32</v>
      </c>
    </row>
    <row r="7" spans="1:3" ht="15.75" customHeight="1">
      <c r="A7" s="1" t="s">
        <v>6</v>
      </c>
      <c r="B7" s="3">
        <v>5.0000000000000001E-3</v>
      </c>
    </row>
    <row r="8" spans="1:3" ht="15.75" customHeight="1">
      <c r="A8" s="1" t="s">
        <v>7</v>
      </c>
      <c r="B8" s="2">
        <v>0.1</v>
      </c>
    </row>
    <row r="9" spans="1:3" ht="15.75" customHeight="1">
      <c r="A9" s="1" t="s">
        <v>8</v>
      </c>
      <c r="B9" s="1">
        <v>150</v>
      </c>
    </row>
    <row r="10" spans="1:3" ht="15.75" customHeight="1">
      <c r="A10" s="4" t="s">
        <v>9</v>
      </c>
      <c r="B10" s="5">
        <f>B14/(B13*B9)</f>
        <v>0.25</v>
      </c>
    </row>
    <row r="11" spans="1:3" ht="15.75" customHeight="1">
      <c r="A11" s="1" t="s">
        <v>10</v>
      </c>
      <c r="B11" s="6">
        <f>B13*B9*75%</f>
        <v>30000</v>
      </c>
    </row>
    <row r="12" spans="1:3" ht="15.75" customHeight="1">
      <c r="A12" s="1" t="s">
        <v>11</v>
      </c>
    </row>
    <row r="13" spans="1:3" ht="15.75" customHeight="1">
      <c r="A13" s="1" t="s">
        <v>12</v>
      </c>
      <c r="B13" s="6">
        <f>'Render v2.0'!J15</f>
        <v>266.66666666666669</v>
      </c>
      <c r="C13" s="1" t="s">
        <v>13</v>
      </c>
    </row>
    <row r="14" spans="1:3" ht="15.75" customHeight="1">
      <c r="A14" s="1" t="s">
        <v>14</v>
      </c>
      <c r="B14" s="6">
        <f>'Render v2.0'!I5</f>
        <v>10000</v>
      </c>
      <c r="C14" s="1" t="s">
        <v>15</v>
      </c>
    </row>
    <row r="15" spans="1:3" ht="15.75" customHeight="1"/>
    <row r="16" spans="1:3" ht="15.75" customHeight="1">
      <c r="A16" s="1" t="s">
        <v>16</v>
      </c>
      <c r="B16" s="7">
        <f>B14/B9/B4</f>
        <v>74.074074074074076</v>
      </c>
      <c r="C16" s="1" t="s">
        <v>13</v>
      </c>
    </row>
    <row r="17" spans="1:5" ht="15.75" customHeight="1">
      <c r="A17" s="1" t="s">
        <v>17</v>
      </c>
      <c r="B17" s="6">
        <f>B13-B16</f>
        <v>192.59259259259261</v>
      </c>
      <c r="C17" s="1" t="s">
        <v>13</v>
      </c>
    </row>
    <row r="18" spans="1:5" ht="15.75" customHeight="1"/>
    <row r="19" spans="1:5" ht="15.75" customHeight="1">
      <c r="A19" s="1" t="s">
        <v>18</v>
      </c>
      <c r="B19" s="1">
        <f>'Render v2.0'!I11</f>
        <v>3</v>
      </c>
      <c r="C19" s="1" t="s">
        <v>19</v>
      </c>
    </row>
    <row r="20" spans="1:5" ht="15.75" customHeight="1"/>
    <row r="21" spans="1:5" ht="15.75" customHeight="1">
      <c r="A21" s="1" t="s">
        <v>20</v>
      </c>
    </row>
    <row r="22" spans="1:5" ht="15.75" customHeight="1"/>
    <row r="23" spans="1:5" ht="15.75" customHeight="1">
      <c r="A23" s="1" t="s">
        <v>2</v>
      </c>
      <c r="B23" s="16">
        <f>-((1+$B$3)^(B19/12)-1)*B14</f>
        <v>-718.73373728261743</v>
      </c>
      <c r="C23" s="17" t="s">
        <v>15</v>
      </c>
      <c r="D23" s="18"/>
    </row>
    <row r="24" spans="1:5" ht="15.75" customHeight="1">
      <c r="A24" s="1" t="s">
        <v>21</v>
      </c>
      <c r="B24" s="16">
        <f>-((1+$B$8)^(B19/12)-1)*B14</f>
        <v>-241.1368908444511</v>
      </c>
      <c r="C24" s="17" t="s">
        <v>15</v>
      </c>
      <c r="D24" s="15"/>
    </row>
    <row r="25" spans="1:5" ht="15.75" customHeight="1">
      <c r="A25" s="1" t="s">
        <v>22</v>
      </c>
      <c r="B25" s="6">
        <f>-B16*B7*B19</f>
        <v>-1.1111111111111112</v>
      </c>
      <c r="C25" s="1" t="s">
        <v>13</v>
      </c>
    </row>
    <row r="26" spans="1:5" ht="15.75" customHeight="1">
      <c r="A26" s="1" t="s">
        <v>23</v>
      </c>
      <c r="B26" s="6">
        <f>((1+$B$2)^(B19/12)-1)*B17</f>
        <v>8.1363890508470327</v>
      </c>
      <c r="C26" s="1" t="s">
        <v>13</v>
      </c>
    </row>
    <row r="27" spans="1:5" ht="15.75" customHeight="1">
      <c r="A27" s="1" t="s">
        <v>24</v>
      </c>
      <c r="B27" s="6">
        <f>B26+B25</f>
        <v>7.025277939735922</v>
      </c>
      <c r="C27" s="1" t="s">
        <v>13</v>
      </c>
      <c r="D27" s="6">
        <f>B27*$B$9*(1+$B$6)</f>
        <v>1391.0050320677126</v>
      </c>
      <c r="E27" s="1" t="s">
        <v>15</v>
      </c>
    </row>
    <row r="28" spans="1:5" ht="15.75" customHeight="1"/>
    <row r="29" spans="1:5" ht="15.75" customHeight="1">
      <c r="A29" s="1" t="s">
        <v>25</v>
      </c>
      <c r="B29" s="6">
        <f>MAX(-(B23+B24+D27),0)</f>
        <v>0</v>
      </c>
    </row>
    <row r="30" spans="1:5" ht="15.75" customHeight="1">
      <c r="A30" s="4" t="s">
        <v>26</v>
      </c>
      <c r="B30" s="8">
        <f>MAX((B29/B14+1)^(12/B19)-1,0%)</f>
        <v>0</v>
      </c>
    </row>
    <row r="31" spans="1:5" ht="15.75" customHeight="1">
      <c r="A31" s="4" t="s">
        <v>27</v>
      </c>
      <c r="B31" s="9">
        <f>B29+B23+D27</f>
        <v>672.27129478509517</v>
      </c>
    </row>
    <row r="32" spans="1:5" ht="15.75" customHeight="1">
      <c r="A32" s="4" t="s">
        <v>28</v>
      </c>
      <c r="B32" s="8">
        <f>(1+B31/B14)^(12/B19)-1</f>
        <v>0.29726119383795035</v>
      </c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Below="0" summaryRight="0"/>
  </sheetPr>
  <dimension ref="G1:M1000"/>
  <sheetViews>
    <sheetView showGridLines="0" workbookViewId="0">
      <selection activeCell="I5" sqref="I5:I6"/>
    </sheetView>
  </sheetViews>
  <sheetFormatPr baseColWidth="10" defaultColWidth="14.42578125" defaultRowHeight="15" customHeight="1"/>
  <cols>
    <col min="1" max="6" width="14.42578125" customWidth="1"/>
    <col min="7" max="7" width="10.140625" customWidth="1"/>
    <col min="8" max="8" width="25.28515625" customWidth="1"/>
    <col min="11" max="11" width="25.28515625" customWidth="1"/>
    <col min="13" max="13" width="10.140625" customWidth="1"/>
  </cols>
  <sheetData>
    <row r="1" spans="7:13" ht="15.75" customHeight="1"/>
    <row r="2" spans="7:13" ht="15.75" customHeight="1">
      <c r="G2" s="10"/>
      <c r="H2" s="10"/>
      <c r="I2" s="10"/>
      <c r="J2" s="10"/>
      <c r="K2" s="10"/>
      <c r="L2" s="10"/>
      <c r="M2" s="10"/>
    </row>
    <row r="3" spans="7:13" ht="15.75" customHeight="1">
      <c r="G3" s="11"/>
      <c r="H3" s="12" t="s">
        <v>29</v>
      </c>
      <c r="I3" s="11"/>
      <c r="J3" s="11"/>
      <c r="K3" s="11"/>
      <c r="L3" s="11"/>
      <c r="M3" s="11"/>
    </row>
    <row r="4" spans="7:13" ht="15.75" customHeight="1">
      <c r="G4" s="11"/>
      <c r="H4" s="11"/>
      <c r="I4" s="11"/>
      <c r="J4" s="11"/>
      <c r="K4" s="11"/>
      <c r="L4" s="11"/>
      <c r="M4" s="11"/>
    </row>
    <row r="5" spans="7:13" ht="15.75" customHeight="1">
      <c r="G5" s="11"/>
      <c r="H5" s="69" t="s">
        <v>30</v>
      </c>
      <c r="I5" s="70">
        <v>3000</v>
      </c>
      <c r="J5" s="11"/>
      <c r="K5" s="69" t="s">
        <v>31</v>
      </c>
      <c r="L5" s="71">
        <f>Modelo!B30</f>
        <v>0</v>
      </c>
      <c r="M5" s="11"/>
    </row>
    <row r="6" spans="7:13" ht="15.75" customHeight="1">
      <c r="G6" s="11"/>
      <c r="H6" s="68"/>
      <c r="I6" s="68"/>
      <c r="J6" s="11"/>
      <c r="K6" s="68"/>
      <c r="L6" s="68"/>
      <c r="M6" s="11"/>
    </row>
    <row r="7" spans="7:13" ht="15.75" customHeight="1">
      <c r="G7" s="11"/>
      <c r="H7" s="11"/>
      <c r="I7" s="11"/>
      <c r="J7" s="11"/>
      <c r="K7" s="11"/>
      <c r="L7" s="11"/>
      <c r="M7" s="11"/>
    </row>
    <row r="8" spans="7:13" ht="15.75" customHeight="1">
      <c r="G8" s="11"/>
      <c r="H8" s="69" t="s">
        <v>32</v>
      </c>
      <c r="I8" s="67">
        <v>150000</v>
      </c>
      <c r="J8" s="11"/>
      <c r="K8" s="69" t="s">
        <v>33</v>
      </c>
      <c r="L8" s="67">
        <f>(Modelo!B29+Modelo!B$14)/I11</f>
        <v>833.33333333333337</v>
      </c>
      <c r="M8" s="11"/>
    </row>
    <row r="9" spans="7:13" ht="15.75" customHeight="1">
      <c r="G9" s="11"/>
      <c r="H9" s="68"/>
      <c r="I9" s="68"/>
      <c r="J9" s="11"/>
      <c r="K9" s="68"/>
      <c r="L9" s="68"/>
      <c r="M9" s="11"/>
    </row>
    <row r="10" spans="7:13" ht="15.75" customHeight="1">
      <c r="G10" s="11"/>
      <c r="H10" s="11"/>
      <c r="I10" s="11"/>
      <c r="J10" s="11"/>
      <c r="K10" s="11"/>
      <c r="L10" s="11"/>
      <c r="M10" s="11"/>
    </row>
    <row r="11" spans="7:13" ht="15.75" customHeight="1">
      <c r="G11" s="11"/>
      <c r="H11" s="69" t="s">
        <v>34</v>
      </c>
      <c r="I11" s="70">
        <v>12</v>
      </c>
      <c r="J11" s="72"/>
      <c r="K11" s="69" t="s">
        <v>35</v>
      </c>
      <c r="L11" s="67">
        <f>L8*I11</f>
        <v>10000</v>
      </c>
      <c r="M11" s="11"/>
    </row>
    <row r="12" spans="7:13" ht="15.75" customHeight="1">
      <c r="G12" s="11"/>
      <c r="H12" s="68"/>
      <c r="I12" s="68"/>
      <c r="J12" s="73"/>
      <c r="K12" s="68"/>
      <c r="L12" s="68"/>
      <c r="M12" s="11"/>
    </row>
    <row r="13" spans="7:13" ht="15.75" customHeight="1">
      <c r="G13" s="11"/>
      <c r="H13" s="11"/>
      <c r="I13" s="11"/>
      <c r="J13" s="11"/>
      <c r="K13" s="11"/>
      <c r="L13" s="11"/>
      <c r="M13" s="11"/>
    </row>
    <row r="14" spans="7:13" ht="15.75" customHeight="1">
      <c r="G14" s="11"/>
      <c r="H14" s="11"/>
      <c r="I14" s="11"/>
      <c r="J14" s="11"/>
      <c r="K14" s="11"/>
      <c r="L14" s="11"/>
      <c r="M14" s="11"/>
    </row>
    <row r="15" spans="7:13" ht="15.75" customHeight="1"/>
    <row r="16" spans="7:13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L11:L12"/>
    <mergeCell ref="H5:H6"/>
    <mergeCell ref="I5:I6"/>
    <mergeCell ref="K5:K6"/>
    <mergeCell ref="L5:L6"/>
    <mergeCell ref="I8:I9"/>
    <mergeCell ref="K8:K9"/>
    <mergeCell ref="L8:L9"/>
    <mergeCell ref="H8:H9"/>
    <mergeCell ref="H11:H12"/>
    <mergeCell ref="I11:I12"/>
    <mergeCell ref="J11:J12"/>
    <mergeCell ref="K11:K1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DropDown="1" showInputMessage="1" showErrorMessage="1" prompt="Monto del préstamo excedido. Tu préstamo no puede exceder el 75% del valor de tus DAIs">
          <x14:formula1>
            <xm:f>Modelo!B11&gt;I8</xm:f>
          </x14:formula1>
          <xm:sqref>I8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outlinePr summaryBelow="0" summaryRight="0"/>
  </sheetPr>
  <dimension ref="G1:M1000"/>
  <sheetViews>
    <sheetView showGridLines="0" workbookViewId="0">
      <selection activeCell="J15" sqref="J15:K16"/>
    </sheetView>
  </sheetViews>
  <sheetFormatPr baseColWidth="10" defaultColWidth="14.42578125" defaultRowHeight="15" customHeight="1"/>
  <cols>
    <col min="1" max="6" width="14.42578125" customWidth="1"/>
    <col min="7" max="7" width="10.140625" customWidth="1"/>
    <col min="8" max="8" width="25.28515625" customWidth="1"/>
    <col min="11" max="11" width="25.28515625" customWidth="1"/>
    <col min="13" max="13" width="10.140625" customWidth="1"/>
  </cols>
  <sheetData>
    <row r="1" spans="7:13" ht="15.75" customHeight="1"/>
    <row r="2" spans="7:13" ht="15.75" customHeight="1">
      <c r="G2" s="10"/>
      <c r="H2" s="10"/>
      <c r="I2" s="10"/>
      <c r="J2" s="10"/>
      <c r="K2" s="10"/>
      <c r="L2" s="10"/>
      <c r="M2" s="10"/>
    </row>
    <row r="3" spans="7:13" ht="15.75" customHeight="1">
      <c r="G3" s="11"/>
      <c r="H3" s="12" t="s">
        <v>29</v>
      </c>
      <c r="I3" s="11"/>
      <c r="J3" s="11"/>
      <c r="K3" s="11"/>
      <c r="L3" s="11"/>
      <c r="M3" s="11"/>
    </row>
    <row r="4" spans="7:13" ht="15.75" customHeight="1">
      <c r="G4" s="11"/>
      <c r="H4" s="11"/>
      <c r="I4" s="11"/>
      <c r="J4" s="11"/>
      <c r="K4" s="11"/>
      <c r="L4" s="11"/>
      <c r="M4" s="11"/>
    </row>
    <row r="5" spans="7:13" ht="15.75" customHeight="1">
      <c r="G5" s="11"/>
      <c r="H5" s="69" t="s">
        <v>32</v>
      </c>
      <c r="I5" s="67">
        <v>10000</v>
      </c>
      <c r="J5" s="11"/>
      <c r="K5" s="69" t="s">
        <v>31</v>
      </c>
      <c r="L5" s="83">
        <f>Modelo!B30</f>
        <v>0</v>
      </c>
      <c r="M5" s="11"/>
    </row>
    <row r="6" spans="7:13" ht="15.75" customHeight="1">
      <c r="G6" s="11"/>
      <c r="H6" s="68"/>
      <c r="I6" s="68"/>
      <c r="J6" s="11"/>
      <c r="K6" s="68"/>
      <c r="L6" s="68"/>
      <c r="M6" s="11"/>
    </row>
    <row r="7" spans="7:13" ht="15.75" customHeight="1">
      <c r="G7" s="11"/>
      <c r="H7" s="11"/>
      <c r="I7" s="11"/>
      <c r="J7" s="11"/>
      <c r="K7" s="11"/>
      <c r="L7" s="11"/>
      <c r="M7" s="11"/>
    </row>
    <row r="8" spans="7:13" ht="15.75" customHeight="1">
      <c r="G8" s="11"/>
      <c r="H8" s="69" t="s">
        <v>36</v>
      </c>
      <c r="I8" s="71">
        <v>0.25</v>
      </c>
      <c r="J8" s="11"/>
      <c r="K8" s="69" t="s">
        <v>33</v>
      </c>
      <c r="L8" s="74">
        <f>(Modelo!B29+Modelo!B$14)/I11</f>
        <v>3333.3333333333335</v>
      </c>
      <c r="M8" s="11"/>
    </row>
    <row r="9" spans="7:13" ht="15.75" customHeight="1">
      <c r="G9" s="11"/>
      <c r="H9" s="68"/>
      <c r="I9" s="68"/>
      <c r="J9" s="11"/>
      <c r="K9" s="68"/>
      <c r="L9" s="68"/>
      <c r="M9" s="11"/>
    </row>
    <row r="10" spans="7:13" ht="15.75" customHeight="1">
      <c r="G10" s="11"/>
      <c r="H10" s="11"/>
      <c r="I10" s="11"/>
      <c r="J10" s="11"/>
      <c r="K10" s="11"/>
      <c r="L10" s="11"/>
      <c r="M10" s="11"/>
    </row>
    <row r="11" spans="7:13" ht="15.75" customHeight="1">
      <c r="G11" s="11"/>
      <c r="H11" s="69" t="s">
        <v>34</v>
      </c>
      <c r="I11" s="70">
        <v>3</v>
      </c>
      <c r="J11" s="72"/>
      <c r="K11" s="69" t="s">
        <v>35</v>
      </c>
      <c r="L11" s="74">
        <f>L8*I11</f>
        <v>10000</v>
      </c>
      <c r="M11" s="11"/>
    </row>
    <row r="12" spans="7:13" ht="15.75" customHeight="1">
      <c r="G12" s="11"/>
      <c r="H12" s="68"/>
      <c r="I12" s="68"/>
      <c r="J12" s="73"/>
      <c r="K12" s="68"/>
      <c r="L12" s="68"/>
      <c r="M12" s="11"/>
    </row>
    <row r="13" spans="7:13" ht="15.75" customHeight="1">
      <c r="G13" s="11"/>
      <c r="H13" s="11"/>
      <c r="I13" s="11"/>
      <c r="J13" s="11"/>
      <c r="K13" s="11"/>
      <c r="L13" s="11"/>
      <c r="M13" s="11"/>
    </row>
    <row r="14" spans="7:13" ht="15.75" customHeight="1">
      <c r="G14" s="11"/>
      <c r="H14" s="11"/>
      <c r="I14" s="11"/>
      <c r="J14" s="11"/>
      <c r="K14" s="11"/>
      <c r="L14" s="11"/>
      <c r="M14" s="11"/>
    </row>
    <row r="15" spans="7:13" ht="15.75" customHeight="1">
      <c r="G15" s="11"/>
      <c r="H15" s="75" t="s">
        <v>37</v>
      </c>
      <c r="I15" s="76"/>
      <c r="J15" s="79">
        <f>(I5/Modelo!B9)/I8</f>
        <v>266.66666666666669</v>
      </c>
      <c r="K15" s="80"/>
      <c r="L15" s="11"/>
      <c r="M15" s="11"/>
    </row>
    <row r="16" spans="7:13" ht="15.75" customHeight="1">
      <c r="G16" s="11"/>
      <c r="H16" s="77"/>
      <c r="I16" s="78"/>
      <c r="J16" s="81"/>
      <c r="K16" s="82"/>
      <c r="L16" s="11"/>
      <c r="M16" s="11"/>
    </row>
    <row r="17" spans="7:13" ht="15.75" customHeight="1">
      <c r="G17" s="11"/>
      <c r="H17" s="11"/>
      <c r="I17" s="11"/>
      <c r="J17" s="11"/>
      <c r="K17" s="11"/>
      <c r="L17" s="11"/>
      <c r="M17" s="11"/>
    </row>
    <row r="18" spans="7:13" ht="15.75" customHeight="1">
      <c r="G18" s="11"/>
      <c r="H18" s="11"/>
      <c r="I18" s="11"/>
      <c r="J18" s="11"/>
      <c r="K18" s="11"/>
      <c r="L18" s="11"/>
      <c r="M18" s="11"/>
    </row>
    <row r="19" spans="7:13" ht="15.75" customHeight="1"/>
    <row r="20" spans="7:13" ht="15.75" customHeight="1"/>
    <row r="21" spans="7:13" ht="15.75" customHeight="1"/>
    <row r="22" spans="7:13" ht="15.75" customHeight="1"/>
    <row r="23" spans="7:13" ht="15.75" customHeight="1"/>
    <row r="24" spans="7:13" ht="15.75" customHeight="1"/>
    <row r="25" spans="7:13" ht="15.75" customHeight="1"/>
    <row r="26" spans="7:13" ht="15.75" customHeight="1"/>
    <row r="27" spans="7:13" ht="15.75" customHeight="1"/>
    <row r="28" spans="7:13" ht="15.75" customHeight="1"/>
    <row r="29" spans="7:13" ht="15.75" customHeight="1"/>
    <row r="30" spans="7:13" ht="15.75" customHeight="1"/>
    <row r="31" spans="7:13" ht="15.75" customHeight="1"/>
    <row r="32" spans="7:1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5">
    <mergeCell ref="L11:L12"/>
    <mergeCell ref="H15:I16"/>
    <mergeCell ref="J15:K16"/>
    <mergeCell ref="H5:H6"/>
    <mergeCell ref="I5:I6"/>
    <mergeCell ref="K5:K6"/>
    <mergeCell ref="L5:L6"/>
    <mergeCell ref="I8:I9"/>
    <mergeCell ref="K8:K9"/>
    <mergeCell ref="L8:L9"/>
    <mergeCell ref="H8:H9"/>
    <mergeCell ref="H11:H12"/>
    <mergeCell ref="I11:I12"/>
    <mergeCell ref="J11:J12"/>
    <mergeCell ref="K11:K1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>
          <x14:formula1>
            <xm:f>Sheet4!$B$3:$B$5</xm:f>
          </x14:formula1>
          <xm:sqref>I8</xm:sqref>
        </x14:dataValidation>
        <x14:dataValidation type="list" allowBlank="1">
          <x14:formula1>
            <xm:f>Sheet4!$D$3:$D$5</xm:f>
          </x14:formula1>
          <xm:sqref>I11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outlinePr summaryBelow="0" summaryRight="0"/>
  </sheetPr>
  <dimension ref="B1:D1000"/>
  <sheetViews>
    <sheetView workbookViewId="0"/>
  </sheetViews>
  <sheetFormatPr baseColWidth="10" defaultColWidth="14.42578125" defaultRowHeight="15" customHeight="1"/>
  <cols>
    <col min="1" max="6" width="14.42578125" customWidth="1"/>
  </cols>
  <sheetData>
    <row r="1" spans="2:4" ht="15.75" customHeight="1"/>
    <row r="2" spans="2:4" ht="15.75" customHeight="1">
      <c r="B2" s="1" t="s">
        <v>38</v>
      </c>
      <c r="D2" s="1" t="s">
        <v>39</v>
      </c>
    </row>
    <row r="3" spans="2:4" ht="15.75" customHeight="1">
      <c r="B3" s="2">
        <v>0.25</v>
      </c>
      <c r="D3" s="1">
        <v>3</v>
      </c>
    </row>
    <row r="4" spans="2:4" ht="15.75" customHeight="1">
      <c r="B4" s="2">
        <v>0.5</v>
      </c>
      <c r="D4" s="1">
        <v>6</v>
      </c>
    </row>
    <row r="5" spans="2:4" ht="15.75" customHeight="1">
      <c r="B5" s="2">
        <v>0.75</v>
      </c>
      <c r="D5" s="1">
        <v>12</v>
      </c>
    </row>
    <row r="6" spans="2:4" ht="15.75" customHeight="1"/>
    <row r="7" spans="2:4" ht="15.75" customHeight="1"/>
    <row r="8" spans="2:4" ht="15.75" customHeight="1"/>
    <row r="9" spans="2:4" ht="15.75" customHeight="1"/>
    <row r="10" spans="2:4" ht="15.75" customHeight="1"/>
    <row r="11" spans="2:4" ht="15.75" customHeight="1"/>
    <row r="12" spans="2:4" ht="15.75" customHeight="1"/>
    <row r="13" spans="2:4" ht="15.75" customHeight="1"/>
    <row r="14" spans="2:4" ht="15.75" customHeight="1"/>
    <row r="15" spans="2:4" ht="15.75" customHeight="1"/>
    <row r="16" spans="2:4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N65"/>
  <sheetViews>
    <sheetView tabSelected="1" topLeftCell="A19" zoomScale="150" zoomScaleNormal="150" workbookViewId="0">
      <selection activeCell="C34" sqref="C34"/>
    </sheetView>
  </sheetViews>
  <sheetFormatPr baseColWidth="10" defaultRowHeight="12.75"/>
  <cols>
    <col min="1" max="1" width="63.5703125" style="19" customWidth="1"/>
    <col min="2" max="2" width="12.42578125" style="19" customWidth="1"/>
    <col min="3" max="3" width="12.140625" style="19" customWidth="1"/>
    <col min="4" max="12" width="12.42578125" style="19" bestFit="1" customWidth="1"/>
    <col min="13" max="16384" width="11.42578125" style="19"/>
  </cols>
  <sheetData>
    <row r="1" spans="1:14">
      <c r="A1" s="20" t="s">
        <v>94</v>
      </c>
      <c r="B1" s="20" t="s">
        <v>95</v>
      </c>
    </row>
    <row r="2" spans="1:14">
      <c r="A2" s="87" t="s">
        <v>51</v>
      </c>
      <c r="B2" s="88"/>
      <c r="C2" s="89"/>
    </row>
    <row r="3" spans="1:14">
      <c r="A3" s="29" t="s">
        <v>48</v>
      </c>
      <c r="B3" s="30">
        <v>50000</v>
      </c>
      <c r="C3" s="29"/>
    </row>
    <row r="4" spans="1:14">
      <c r="A4" s="29" t="s">
        <v>49</v>
      </c>
      <c r="B4" s="31">
        <v>1</v>
      </c>
      <c r="C4" s="29" t="s">
        <v>52</v>
      </c>
    </row>
    <row r="5" spans="1:14">
      <c r="A5" s="29" t="s">
        <v>54</v>
      </c>
      <c r="B5" s="40">
        <v>0.25</v>
      </c>
      <c r="C5" s="29" t="s">
        <v>62</v>
      </c>
    </row>
    <row r="6" spans="1:14">
      <c r="D6" s="48" t="s">
        <v>89</v>
      </c>
    </row>
    <row r="7" spans="1:14">
      <c r="A7" s="37" t="s">
        <v>61</v>
      </c>
    </row>
    <row r="8" spans="1:14">
      <c r="A8" s="36" t="s">
        <v>42</v>
      </c>
      <c r="B8" s="39">
        <f>B5/12</f>
        <v>2.0833333333333332E-2</v>
      </c>
    </row>
    <row r="9" spans="1:14">
      <c r="A9" s="32" t="s">
        <v>46</v>
      </c>
      <c r="B9" s="38">
        <v>0</v>
      </c>
      <c r="C9" s="38">
        <v>1</v>
      </c>
      <c r="D9" s="38">
        <v>2</v>
      </c>
      <c r="E9" s="38">
        <v>3</v>
      </c>
      <c r="F9" s="38">
        <v>4</v>
      </c>
      <c r="G9" s="38">
        <v>5</v>
      </c>
      <c r="H9" s="38">
        <v>6</v>
      </c>
      <c r="I9" s="38">
        <v>7</v>
      </c>
      <c r="J9" s="38">
        <v>8</v>
      </c>
      <c r="K9" s="38">
        <v>9</v>
      </c>
      <c r="L9" s="38">
        <v>10</v>
      </c>
      <c r="M9" s="38">
        <v>11</v>
      </c>
      <c r="N9" s="38">
        <v>12</v>
      </c>
    </row>
    <row r="10" spans="1:14">
      <c r="A10" s="32" t="s">
        <v>43</v>
      </c>
      <c r="B10" s="34">
        <f>B3</f>
        <v>50000</v>
      </c>
      <c r="C10" s="35">
        <f>IF(B10-C11&gt;=0,B10-C11,0)</f>
        <v>0</v>
      </c>
      <c r="D10" s="35">
        <f t="shared" ref="D10:N10" si="0">IF(C10-D11&gt;=0,C10-D11,0)</f>
        <v>0</v>
      </c>
      <c r="E10" s="35">
        <f t="shared" si="0"/>
        <v>0</v>
      </c>
      <c r="F10" s="35">
        <f t="shared" si="0"/>
        <v>0</v>
      </c>
      <c r="G10" s="35">
        <f t="shared" si="0"/>
        <v>0</v>
      </c>
      <c r="H10" s="35">
        <f t="shared" si="0"/>
        <v>0</v>
      </c>
      <c r="I10" s="35">
        <f t="shared" si="0"/>
        <v>0</v>
      </c>
      <c r="J10" s="35">
        <f t="shared" si="0"/>
        <v>0</v>
      </c>
      <c r="K10" s="35">
        <f t="shared" si="0"/>
        <v>0</v>
      </c>
      <c r="L10" s="35">
        <f t="shared" si="0"/>
        <v>0</v>
      </c>
      <c r="M10" s="35">
        <f t="shared" si="0"/>
        <v>0</v>
      </c>
      <c r="N10" s="35">
        <f t="shared" si="0"/>
        <v>0</v>
      </c>
    </row>
    <row r="11" spans="1:14">
      <c r="A11" s="32" t="s">
        <v>47</v>
      </c>
      <c r="B11" s="34"/>
      <c r="C11" s="35">
        <f>C14-C12</f>
        <v>50000.000000000175</v>
      </c>
      <c r="D11" s="35">
        <f>D14-D12</f>
        <v>0</v>
      </c>
      <c r="E11" s="35">
        <f>E14-E12</f>
        <v>0</v>
      </c>
      <c r="F11" s="35">
        <f t="shared" ref="F11:L11" si="1">F14-F12</f>
        <v>0</v>
      </c>
      <c r="G11" s="35">
        <f t="shared" si="1"/>
        <v>0</v>
      </c>
      <c r="H11" s="35">
        <f t="shared" si="1"/>
        <v>0</v>
      </c>
      <c r="I11" s="35">
        <f t="shared" si="1"/>
        <v>0</v>
      </c>
      <c r="J11" s="35">
        <f t="shared" si="1"/>
        <v>0</v>
      </c>
      <c r="K11" s="35">
        <f t="shared" si="1"/>
        <v>0</v>
      </c>
      <c r="L11" s="35">
        <f t="shared" si="1"/>
        <v>0</v>
      </c>
      <c r="M11" s="35">
        <f t="shared" ref="M11" si="2">M14-M12</f>
        <v>0</v>
      </c>
      <c r="N11" s="35">
        <f t="shared" ref="N11" si="3">N14-N12</f>
        <v>0</v>
      </c>
    </row>
    <row r="12" spans="1:14">
      <c r="A12" s="32" t="s">
        <v>44</v>
      </c>
      <c r="B12" s="33"/>
      <c r="C12" s="35">
        <f>$B$8*B10</f>
        <v>1041.6666666666665</v>
      </c>
      <c r="D12" s="35">
        <f>$B$8*C10</f>
        <v>0</v>
      </c>
      <c r="E12" s="35">
        <f>$B$8*D10</f>
        <v>0</v>
      </c>
      <c r="F12" s="35">
        <f t="shared" ref="F12:L12" si="4">$B$8*E10</f>
        <v>0</v>
      </c>
      <c r="G12" s="35">
        <f t="shared" si="4"/>
        <v>0</v>
      </c>
      <c r="H12" s="35">
        <f t="shared" si="4"/>
        <v>0</v>
      </c>
      <c r="I12" s="35">
        <f t="shared" si="4"/>
        <v>0</v>
      </c>
      <c r="J12" s="35">
        <f t="shared" si="4"/>
        <v>0</v>
      </c>
      <c r="K12" s="35">
        <f t="shared" si="4"/>
        <v>0</v>
      </c>
      <c r="L12" s="35">
        <f t="shared" si="4"/>
        <v>0</v>
      </c>
      <c r="M12" s="35">
        <f t="shared" ref="M12:N12" si="5">$B$8*L10</f>
        <v>0</v>
      </c>
      <c r="N12" s="35">
        <f t="shared" si="5"/>
        <v>0</v>
      </c>
    </row>
    <row r="13" spans="1:14">
      <c r="A13" s="32" t="s">
        <v>80</v>
      </c>
      <c r="B13" s="33"/>
      <c r="C13" s="35">
        <f>C12*(1+$B$28)</f>
        <v>1260.4166666666665</v>
      </c>
      <c r="D13" s="35">
        <f t="shared" ref="D13:N13" si="6">D12*(1+$B$28)</f>
        <v>0</v>
      </c>
      <c r="E13" s="35">
        <f t="shared" si="6"/>
        <v>0</v>
      </c>
      <c r="F13" s="35">
        <f t="shared" si="6"/>
        <v>0</v>
      </c>
      <c r="G13" s="35">
        <f t="shared" si="6"/>
        <v>0</v>
      </c>
      <c r="H13" s="35">
        <f t="shared" si="6"/>
        <v>0</v>
      </c>
      <c r="I13" s="35">
        <f t="shared" si="6"/>
        <v>0</v>
      </c>
      <c r="J13" s="35">
        <f t="shared" si="6"/>
        <v>0</v>
      </c>
      <c r="K13" s="35">
        <f t="shared" si="6"/>
        <v>0</v>
      </c>
      <c r="L13" s="35">
        <f t="shared" si="6"/>
        <v>0</v>
      </c>
      <c r="M13" s="35">
        <f t="shared" si="6"/>
        <v>0</v>
      </c>
      <c r="N13" s="35">
        <f t="shared" si="6"/>
        <v>0</v>
      </c>
    </row>
    <row r="14" spans="1:14">
      <c r="A14" s="32" t="s">
        <v>45</v>
      </c>
      <c r="B14" s="33"/>
      <c r="C14" s="35">
        <f>IF(C9&lt;=$B$4,IF($B$8=0,$B$3/$B$4,B10*$B$8*(1+$B$8)^($B$4-B9)/((1+$B$8)^($B$4-B9)-1)),0)</f>
        <v>51041.666666666839</v>
      </c>
      <c r="D14" s="35">
        <f t="shared" ref="D14:N14" si="7">IF(D9&lt;=$B$4,IF($B$8=0,$B$3/$B$4,C10*$B$8*(1+$B$8)^($B$4-C9)/((1+$B$8)^($B$4-C9)-1)),0)</f>
        <v>0</v>
      </c>
      <c r="E14" s="35">
        <f t="shared" si="7"/>
        <v>0</v>
      </c>
      <c r="F14" s="35">
        <f t="shared" si="7"/>
        <v>0</v>
      </c>
      <c r="G14" s="35">
        <f t="shared" si="7"/>
        <v>0</v>
      </c>
      <c r="H14" s="35">
        <f t="shared" si="7"/>
        <v>0</v>
      </c>
      <c r="I14" s="35">
        <f t="shared" si="7"/>
        <v>0</v>
      </c>
      <c r="J14" s="35">
        <f t="shared" si="7"/>
        <v>0</v>
      </c>
      <c r="K14" s="35">
        <f t="shared" si="7"/>
        <v>0</v>
      </c>
      <c r="L14" s="35">
        <f t="shared" si="7"/>
        <v>0</v>
      </c>
      <c r="M14" s="35">
        <f t="shared" si="7"/>
        <v>0</v>
      </c>
      <c r="N14" s="35">
        <f t="shared" si="7"/>
        <v>0</v>
      </c>
    </row>
    <row r="15" spans="1:14">
      <c r="A15" s="32" t="s">
        <v>85</v>
      </c>
      <c r="B15" s="33"/>
      <c r="C15" s="35">
        <f>C11+C13</f>
        <v>51260.416666666839</v>
      </c>
      <c r="D15" s="35">
        <f t="shared" ref="D15:N15" si="8">D11+D13</f>
        <v>0</v>
      </c>
      <c r="E15" s="35">
        <f t="shared" si="8"/>
        <v>0</v>
      </c>
      <c r="F15" s="35">
        <f t="shared" si="8"/>
        <v>0</v>
      </c>
      <c r="G15" s="35">
        <f t="shared" si="8"/>
        <v>0</v>
      </c>
      <c r="H15" s="35">
        <f t="shared" si="8"/>
        <v>0</v>
      </c>
      <c r="I15" s="35">
        <f t="shared" si="8"/>
        <v>0</v>
      </c>
      <c r="J15" s="35">
        <f t="shared" si="8"/>
        <v>0</v>
      </c>
      <c r="K15" s="35">
        <f t="shared" si="8"/>
        <v>0</v>
      </c>
      <c r="L15" s="35">
        <f t="shared" si="8"/>
        <v>0</v>
      </c>
      <c r="M15" s="35">
        <f t="shared" si="8"/>
        <v>0</v>
      </c>
      <c r="N15" s="35">
        <f t="shared" si="8"/>
        <v>0</v>
      </c>
    </row>
    <row r="16" spans="1:14">
      <c r="A16" s="32" t="s">
        <v>81</v>
      </c>
      <c r="B16" s="35">
        <f>SUM(C14:L14)</f>
        <v>51041.666666666839</v>
      </c>
      <c r="C16" s="48"/>
    </row>
    <row r="17" spans="1:9">
      <c r="A17" s="32" t="s">
        <v>82</v>
      </c>
      <c r="B17" s="35">
        <f>SUM(C15:L15)</f>
        <v>51260.416666666839</v>
      </c>
    </row>
    <row r="18" spans="1:9">
      <c r="A18" s="20"/>
    </row>
    <row r="19" spans="1:9">
      <c r="A19" s="90" t="s">
        <v>50</v>
      </c>
      <c r="B19" s="90"/>
    </row>
    <row r="20" spans="1:9">
      <c r="A20" s="41" t="s">
        <v>53</v>
      </c>
      <c r="B20" s="43">
        <f>B3/(B34*B25)</f>
        <v>756.83241171097256</v>
      </c>
      <c r="C20" s="64" t="s">
        <v>13</v>
      </c>
      <c r="I20" s="22"/>
    </row>
    <row r="21" spans="1:9">
      <c r="A21" s="42" t="s">
        <v>83</v>
      </c>
      <c r="B21" s="43">
        <f>C14</f>
        <v>51041.666666666839</v>
      </c>
      <c r="C21" s="64" t="s">
        <v>15</v>
      </c>
    </row>
    <row r="22" spans="1:9">
      <c r="A22" s="42" t="s">
        <v>84</v>
      </c>
      <c r="B22" s="43">
        <f>SUM(C14:L14)</f>
        <v>51041.666666666839</v>
      </c>
      <c r="C22" s="64" t="s">
        <v>15</v>
      </c>
    </row>
    <row r="23" spans="1:9">
      <c r="A23" s="42" t="s">
        <v>87</v>
      </c>
      <c r="B23" s="61">
        <f>B5</f>
        <v>0.25</v>
      </c>
      <c r="C23" s="22"/>
    </row>
    <row r="24" spans="1:9">
      <c r="A24" s="42" t="s">
        <v>88</v>
      </c>
      <c r="B24" s="61">
        <f>(B3*B5+SUM(C13:N13))/B3</f>
        <v>0.27520833333333333</v>
      </c>
      <c r="C24" s="22"/>
    </row>
    <row r="25" spans="1:9">
      <c r="A25" s="44" t="s">
        <v>78</v>
      </c>
      <c r="B25" s="66">
        <v>0.44043215932014063</v>
      </c>
      <c r="C25" s="20" t="s">
        <v>64</v>
      </c>
    </row>
    <row r="26" spans="1:9">
      <c r="A26" s="20"/>
      <c r="B26" s="21"/>
      <c r="C26" s="20"/>
    </row>
    <row r="27" spans="1:9">
      <c r="A27" s="91" t="s">
        <v>55</v>
      </c>
      <c r="B27" s="91"/>
      <c r="C27" s="20"/>
    </row>
    <row r="28" spans="1:9">
      <c r="A28" s="45" t="s">
        <v>79</v>
      </c>
      <c r="B28" s="60">
        <v>0.21</v>
      </c>
      <c r="C28" s="48" t="s">
        <v>86</v>
      </c>
    </row>
    <row r="29" spans="1:9">
      <c r="A29" s="45" t="s">
        <v>0</v>
      </c>
      <c r="B29" s="57">
        <v>0.18</v>
      </c>
    </row>
    <row r="30" spans="1:9">
      <c r="A30" s="45" t="s">
        <v>65</v>
      </c>
      <c r="B30" s="57">
        <v>0.32</v>
      </c>
    </row>
    <row r="31" spans="1:9">
      <c r="A31" s="45" t="s">
        <v>4</v>
      </c>
      <c r="B31" s="57">
        <v>0.7</v>
      </c>
    </row>
    <row r="32" spans="1:9">
      <c r="A32" s="45" t="s">
        <v>58</v>
      </c>
      <c r="B32" s="57">
        <v>0.32</v>
      </c>
    </row>
    <row r="33" spans="1:9">
      <c r="A33" s="45" t="s">
        <v>6</v>
      </c>
      <c r="B33" s="58">
        <v>5.0000000000000001E-3</v>
      </c>
    </row>
    <row r="34" spans="1:9">
      <c r="A34" s="45" t="s">
        <v>57</v>
      </c>
      <c r="B34" s="59">
        <v>150</v>
      </c>
      <c r="C34" s="20"/>
    </row>
    <row r="35" spans="1:9">
      <c r="A35" s="45" t="s">
        <v>3</v>
      </c>
      <c r="B35" s="59">
        <v>0.9</v>
      </c>
    </row>
    <row r="37" spans="1:9">
      <c r="A37" s="92" t="s">
        <v>56</v>
      </c>
      <c r="B37" s="92"/>
    </row>
    <row r="38" spans="1:9">
      <c r="A38" s="46" t="s">
        <v>7</v>
      </c>
      <c r="B38" s="47">
        <v>0.1</v>
      </c>
    </row>
    <row r="39" spans="1:9">
      <c r="A39" s="23"/>
    </row>
    <row r="40" spans="1:9">
      <c r="A40" s="93" t="s">
        <v>59</v>
      </c>
      <c r="B40" s="94"/>
    </row>
    <row r="41" spans="1:9">
      <c r="A41" s="49" t="s">
        <v>63</v>
      </c>
      <c r="B41" s="50">
        <f>(B3/B34)*(1/B35)</f>
        <v>370.37037037037038</v>
      </c>
      <c r="C41" s="65" t="s">
        <v>13</v>
      </c>
      <c r="H41" s="25"/>
      <c r="I41" s="25"/>
    </row>
    <row r="42" spans="1:9">
      <c r="A42" s="49" t="s">
        <v>60</v>
      </c>
      <c r="B42" s="51">
        <f>B20-B41</f>
        <v>386.46204134060218</v>
      </c>
      <c r="C42" s="65" t="s">
        <v>13</v>
      </c>
    </row>
    <row r="43" spans="1:9">
      <c r="A43" s="23"/>
      <c r="B43" s="25"/>
    </row>
    <row r="44" spans="1:9">
      <c r="A44" s="84" t="s">
        <v>20</v>
      </c>
      <c r="B44" s="85"/>
      <c r="C44" s="86"/>
    </row>
    <row r="45" spans="1:9">
      <c r="A45" s="52" t="s">
        <v>72</v>
      </c>
      <c r="B45" s="53">
        <f>-((1+B30)^(B4/12)-1)*B3</f>
        <v>-1170.2845398146032</v>
      </c>
      <c r="C45" s="62" t="s">
        <v>15</v>
      </c>
      <c r="D45" s="25"/>
      <c r="E45" s="25"/>
    </row>
    <row r="46" spans="1:9">
      <c r="A46" s="52" t="s">
        <v>73</v>
      </c>
      <c r="B46" s="53">
        <f>-B3</f>
        <v>-50000</v>
      </c>
      <c r="C46" s="62" t="s">
        <v>15</v>
      </c>
      <c r="D46" s="25"/>
      <c r="E46" s="25"/>
    </row>
    <row r="47" spans="1:9">
      <c r="A47" s="52" t="s">
        <v>75</v>
      </c>
      <c r="B47" s="53">
        <f>-((1+B38)^(B4/12)-1)*B3</f>
        <v>-398.70702144518822</v>
      </c>
      <c r="C47" s="62" t="s">
        <v>15</v>
      </c>
    </row>
    <row r="48" spans="1:9">
      <c r="A48" s="44" t="s">
        <v>76</v>
      </c>
      <c r="B48" s="53">
        <f>B16</f>
        <v>51041.666666666839</v>
      </c>
      <c r="C48" s="63" t="s">
        <v>15</v>
      </c>
    </row>
    <row r="49" spans="1:7">
      <c r="A49" s="52" t="s">
        <v>74</v>
      </c>
      <c r="B49" s="53">
        <f>-B33*B41*B4*B34</f>
        <v>-277.77777777777777</v>
      </c>
      <c r="C49" s="62" t="s">
        <v>15</v>
      </c>
      <c r="D49" s="48" t="s">
        <v>92</v>
      </c>
      <c r="E49" s="25"/>
    </row>
    <row r="50" spans="1:7">
      <c r="A50" s="44" t="s">
        <v>91</v>
      </c>
      <c r="B50" s="56">
        <f>((1+B29)^(B4/12)-1)*B42*B34</f>
        <v>805.10267151949017</v>
      </c>
      <c r="C50" s="63" t="s">
        <v>15</v>
      </c>
      <c r="D50" s="48" t="s">
        <v>93</v>
      </c>
    </row>
    <row r="51" spans="1:7">
      <c r="A51" s="52" t="s">
        <v>77</v>
      </c>
      <c r="B51" s="53">
        <f>SUM(B45:B50)</f>
        <v>-8.5123940607445547E-7</v>
      </c>
      <c r="C51" s="62" t="s">
        <v>15</v>
      </c>
      <c r="D51" s="26"/>
      <c r="E51" s="23"/>
      <c r="F51" s="23"/>
      <c r="G51" s="23"/>
    </row>
    <row r="53" spans="1:7">
      <c r="A53" s="54" t="s">
        <v>90</v>
      </c>
      <c r="B53" s="55">
        <f>-B47</f>
        <v>398.70702144518822</v>
      </c>
      <c r="C53" s="59" t="s">
        <v>15</v>
      </c>
    </row>
    <row r="56" spans="1:7">
      <c r="A56" s="23"/>
      <c r="B56" s="26"/>
    </row>
    <row r="57" spans="1:7">
      <c r="A57" s="24"/>
      <c r="B57" s="27"/>
    </row>
    <row r="58" spans="1:7">
      <c r="A58" s="24"/>
      <c r="B58" s="28"/>
    </row>
    <row r="59" spans="1:7">
      <c r="A59" s="24"/>
      <c r="B59" s="27"/>
    </row>
    <row r="62" spans="1:7">
      <c r="A62" s="20"/>
    </row>
    <row r="63" spans="1:7">
      <c r="A63" s="20"/>
    </row>
    <row r="64" spans="1:7">
      <c r="A64" s="20"/>
    </row>
    <row r="65" spans="1:1">
      <c r="A65" s="20"/>
    </row>
  </sheetData>
  <mergeCells count="6">
    <mergeCell ref="A44:C44"/>
    <mergeCell ref="A2:C2"/>
    <mergeCell ref="A19:B19"/>
    <mergeCell ref="A27:B27"/>
    <mergeCell ref="A37:B37"/>
    <mergeCell ref="A40:B4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Módulo3.LanzaSolver">
                <anchor moveWithCells="1" sizeWithCells="1">
                  <from>
                    <xdr:col>3</xdr:col>
                    <xdr:colOff>133350</xdr:colOff>
                    <xdr:row>3</xdr:row>
                    <xdr:rowOff>0</xdr:rowOff>
                  </from>
                  <to>
                    <xdr:col>4</xdr:col>
                    <xdr:colOff>409575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2"/>
  <sheetViews>
    <sheetView zoomScale="150" zoomScaleNormal="150" workbookViewId="0">
      <selection activeCell="G21" sqref="G21"/>
    </sheetView>
  </sheetViews>
  <sheetFormatPr baseColWidth="10" defaultRowHeight="12.75"/>
  <cols>
    <col min="1" max="1" width="11.85546875" style="19" customWidth="1"/>
    <col min="2" max="2" width="13.28515625" style="19" customWidth="1"/>
    <col min="3" max="3" width="12.42578125" style="19" customWidth="1"/>
    <col min="4" max="12" width="12.42578125" style="19" bestFit="1" customWidth="1"/>
    <col min="13" max="16384" width="11.42578125" style="19"/>
  </cols>
  <sheetData>
    <row r="1" spans="1:1">
      <c r="A1" s="20"/>
    </row>
    <row r="2" spans="1:1">
      <c r="A2" s="2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7"/>
  <sheetViews>
    <sheetView zoomScale="140" zoomScaleNormal="140" workbookViewId="0">
      <selection activeCell="E10" sqref="E10"/>
    </sheetView>
  </sheetViews>
  <sheetFormatPr baseColWidth="10" defaultRowHeight="12.75"/>
  <sheetData>
    <row r="1" spans="1:1">
      <c r="A1" s="14" t="s">
        <v>66</v>
      </c>
    </row>
    <row r="2" spans="1:1" s="13" customFormat="1">
      <c r="A2" s="14" t="s">
        <v>69</v>
      </c>
    </row>
    <row r="3" spans="1:1" s="13" customFormat="1">
      <c r="A3" s="14"/>
    </row>
    <row r="4" spans="1:1">
      <c r="A4" s="14" t="s">
        <v>67</v>
      </c>
    </row>
    <row r="5" spans="1:1">
      <c r="A5" t="s">
        <v>68</v>
      </c>
    </row>
    <row r="6" spans="1:1">
      <c r="A6" s="14" t="s">
        <v>70</v>
      </c>
    </row>
    <row r="7" spans="1:1">
      <c r="A7" s="14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Modelo</vt:lpstr>
      <vt:lpstr>Render</vt:lpstr>
      <vt:lpstr>Render v2.0</vt:lpstr>
      <vt:lpstr>Sheet4</vt:lpstr>
      <vt:lpstr>Manuel - Modelo Frances</vt:lpstr>
      <vt:lpstr>Manuel -Modelo Frances Cashflow</vt:lpstr>
      <vt:lpstr>notas impuestos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</dc:creator>
  <cp:lastModifiedBy>José D'lucas</cp:lastModifiedBy>
  <dcterms:created xsi:type="dcterms:W3CDTF">2021-08-04T14:04:12Z</dcterms:created>
  <dcterms:modified xsi:type="dcterms:W3CDTF">2021-08-14T15:55:07Z</dcterms:modified>
</cp:coreProperties>
</file>